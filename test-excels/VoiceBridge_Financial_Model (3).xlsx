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Y1 Monthly Forecast" sheetId="2" r:id="rId5"/>
    <sheet state="visible" name="3-Year P&amp;L" sheetId="3" r:id="rId6"/>
    <sheet state="visible" name="Sensitivity Analysis" sheetId="4" r:id="rId7"/>
    <sheet state="visible" name="Unit Economics" sheetId="5" r:id="rId8"/>
    <sheet state="visible" name="Use of Sunstone Funds" sheetId="6" r:id="rId9"/>
  </sheets>
  <definedNames/>
  <calcPr/>
  <extLst>
    <ext uri="GoogleSheetsCustomDataVersion2">
      <go:sheetsCustomData xmlns:go="http://customooxmlschemas.google.com/" r:id="rId10" roundtripDataChecksum="4plF00YNHtVWU4wydhfARJ3UtB8aeS7FIq0ZexOaLOs="/>
    </ext>
  </extLst>
</workbook>
</file>

<file path=xl/sharedStrings.xml><?xml version="1.0" encoding="utf-8"?>
<sst xmlns="http://schemas.openxmlformats.org/spreadsheetml/2006/main" count="174" uniqueCount="174">
  <si>
    <t>VoiceBridge — Financial Model &amp; Assumptions</t>
  </si>
  <si>
    <t>Sunstone Innovation Challenge 2026  |  Confidential</t>
  </si>
  <si>
    <t>LEGEND</t>
  </si>
  <si>
    <t>Blue text = Hardcoded inputs (change for scenarios)</t>
  </si>
  <si>
    <t>Black text = Formulas / calculated</t>
  </si>
  <si>
    <t>Yellow bg = Key assumptions needing attention</t>
  </si>
  <si>
    <t>PRICING ASSUMPTIONS</t>
  </si>
  <si>
    <t>Personal Pro — Annual Price ($/yr)</t>
  </si>
  <si>
    <t>Survey-validated; below $4,500 annual time-value</t>
  </si>
  <si>
    <t>Personal Pro — Monthly Equivalent ($/mo)</t>
  </si>
  <si>
    <t>Calculated: annual / 12</t>
  </si>
  <si>
    <t>Team — Annual Price ($/user/yr)</t>
  </si>
  <si>
    <t>Per user/yr — team lead deployment channel</t>
  </si>
  <si>
    <t>Institutional — Low ($/yr)</t>
  </si>
  <si>
    <t>BMAC pilot comparable institutions</t>
  </si>
  <si>
    <t>Institutional — High ($/yr)</t>
  </si>
  <si>
    <t>Large university / enterprise tier</t>
  </si>
  <si>
    <t>Institutional — Average ($/yr)</t>
  </si>
  <si>
    <t>Calculated midpoint for projections</t>
  </si>
  <si>
    <t>Beta Pre-Order Price ($/yr)</t>
  </si>
  <si>
    <t>30.3% pre-order commitment rate from survey (n=33)</t>
  </si>
  <si>
    <t>UNIT ECONOMICS &amp; COST ASSUMPTIONS</t>
  </si>
  <si>
    <t>AI/API Cost per User per Year ($)</t>
  </si>
  <si>
    <t>Cloud Infra Cost per User per Year ($)</t>
  </si>
  <si>
    <t>Blended COGS per User per Year ($)</t>
  </si>
  <si>
    <t>Blended CAC — Year 1 (PLG, no paid ads) ($)</t>
  </si>
  <si>
    <t>Blended CAC — Year 2 ($)</t>
  </si>
  <si>
    <t>Blended CAC — Year 3 ($)</t>
  </si>
  <si>
    <t>Annual Churn Rate (%)</t>
  </si>
  <si>
    <t>Average Subscription Length (yrs)</t>
  </si>
  <si>
    <t>LTV — Pro (ARPU × avg life) ($)</t>
  </si>
  <si>
    <t>LTV/CAC Ratio — Y1</t>
  </si>
  <si>
    <t>a</t>
  </si>
  <si>
    <t>Pro tier: $99/yr billed annually → $8.25/mo MRR equivalent.  Institutional revenue recognized at contract signing.</t>
  </si>
  <si>
    <t>Month</t>
  </si>
  <si>
    <t>Free Users
(cumul.)</t>
  </si>
  <si>
    <t>New Pro
Users</t>
  </si>
  <si>
    <t>Pro Users
(cumul.)</t>
  </si>
  <si>
    <t>MRR ($)</t>
  </si>
  <si>
    <t>Institutional
Revenue ($)</t>
  </si>
  <si>
    <t>Total
Revenue ($)</t>
  </si>
  <si>
    <t>Monthly
Expense ($)</t>
  </si>
  <si>
    <t>Net
Income ($)</t>
  </si>
  <si>
    <t>Notes</t>
  </si>
  <si>
    <t>Apr 2026</t>
  </si>
  <si>
    <t>Beta build, BMAC onboarding</t>
  </si>
  <si>
    <t>May 2026</t>
  </si>
  <si>
    <t>Campus ambassador launch</t>
  </si>
  <si>
    <t>Jun 2026</t>
  </si>
  <si>
    <t>Closed beta — first 5 paid</t>
  </si>
  <si>
    <t>Jul 2026</t>
  </si>
  <si>
    <t>Beta expands</t>
  </si>
  <si>
    <t>Aug 2026</t>
  </si>
  <si>
    <t>Usage cap conversions</t>
  </si>
  <si>
    <t>Sep 2026</t>
  </si>
  <si>
    <t>Word-of-mouth accelerates</t>
  </si>
  <si>
    <t>Oct 2026</t>
  </si>
  <si>
    <t xml:space="preserve">Product Hunt launch </t>
  </si>
  <si>
    <t>Nov 2026</t>
  </si>
  <si>
    <t>Post-PH conversion wave</t>
  </si>
  <si>
    <t>Dec 2026</t>
  </si>
  <si>
    <t>Holiday / semester break push</t>
  </si>
  <si>
    <t>Jan 2027</t>
  </si>
  <si>
    <t>Spring semester activation</t>
  </si>
  <si>
    <t>Feb 2027</t>
  </si>
  <si>
    <t>BMAC pilot results published</t>
  </si>
  <si>
    <t>Mar 2027</t>
  </si>
  <si>
    <t>1st institutional contract signed</t>
  </si>
  <si>
    <t>FULL YEAR TOTAL</t>
  </si>
  <si>
    <t>ARR exit rate ≈ MRR×12 = ~$34.7K</t>
  </si>
  <si>
    <t>VoiceBridge — 3-Year Profit &amp; Loss Summary</t>
  </si>
  <si>
    <t>Year 1
(Apr 2026–Mar 2027)</t>
  </si>
  <si>
    <t>Year 2
(Apr 2027–Mar 2028)</t>
  </si>
  <si>
    <t>Year 3
(Apr 2028–Mar 2029)</t>
  </si>
  <si>
    <t>3-Year Total</t>
  </si>
  <si>
    <t>REVENUE</t>
  </si>
  <si>
    <t>Personal Pro Subscriptions</t>
  </si>
  <si>
    <t>Team Licenses</t>
  </si>
  <si>
    <t>Institutional Contracts</t>
  </si>
  <si>
    <t>TOTAL REVENUE</t>
  </si>
  <si>
    <t>COST OF REVENUE (COGS)</t>
  </si>
  <si>
    <t xml:space="preserve">  AI/API + Cloud Infrastructure</t>
  </si>
  <si>
    <t>GROSS PROFIT</t>
  </si>
  <si>
    <t xml:space="preserve">  Gross Margin %</t>
  </si>
  <si>
    <t>OPERATING EXPENSES</t>
  </si>
  <si>
    <t xml:space="preserve">  AI / API</t>
  </si>
  <si>
    <t xml:space="preserve">  Cloud / Hosting</t>
  </si>
  <si>
    <t xml:space="preserve">  Software Tools</t>
  </si>
  <si>
    <t xml:space="preserve">  User Research</t>
  </si>
  <si>
    <t xml:space="preserve">  Marketing &amp; Growth</t>
  </si>
  <si>
    <t xml:space="preserve">  Legal / IP</t>
  </si>
  <si>
    <t xml:space="preserve">  Contractors</t>
  </si>
  <si>
    <t xml:space="preserve">  Founder Compensation</t>
  </si>
  <si>
    <t>TOTAL OPERATING EXPENSES</t>
  </si>
  <si>
    <t>OPERATING INCOME / (LOSS)</t>
  </si>
  <si>
    <t xml:space="preserve">  Operating Margin %</t>
  </si>
  <si>
    <t xml:space="preserve">  Cumulative Operating Cash</t>
  </si>
  <si>
    <t>VoiceBridge — Sensitivity Analysis (Year 3 Projections)</t>
  </si>
  <si>
    <t>All scenarios assume only one variable changes at a time vs. base case, unless otherwise stated.</t>
  </si>
  <si>
    <t>Scenario</t>
  </si>
  <si>
    <t>Change from Base</t>
  </si>
  <si>
    <t>Y3 Revenue
Impact ($)</t>
  </si>
  <si>
    <t>Y3 Operating
Income ($)</t>
  </si>
  <si>
    <t>Verdict</t>
  </si>
  <si>
    <t>Key Lever</t>
  </si>
  <si>
    <t>Base Case</t>
  </si>
  <si>
    <t>As projected</t>
  </si>
  <si>
    <t>Healthy</t>
  </si>
  <si>
    <t>All assumptions met</t>
  </si>
  <si>
    <t>Activation drops 40%</t>
  </si>
  <si>
    <t>57% fewer entering funnel</t>
  </si>
  <si>
    <t>Profitable — slower growth</t>
  </si>
  <si>
    <t>Fix onboarding / first command UX</t>
  </si>
  <si>
    <t>W4 Retention = 20%</t>
  </si>
  <si>
    <t>50% higher churn</t>
  </si>
  <si>
    <t>Profitable — fix retention</t>
  </si>
  <si>
    <t>Narrow to 3 highest-repeat workflows</t>
  </si>
  <si>
    <t>Institutional = +12mo</t>
  </si>
  <si>
    <t>Y1: 0 pilots, Y2: 2, Y3: 6</t>
  </si>
  <si>
    <t>Minor impact</t>
  </si>
  <si>
    <t>Consumer Pro sustains independently</t>
  </si>
  <si>
    <t>CAC doubles ($40)</t>
  </si>
  <si>
    <t>Marketing spend 2×</t>
  </si>
  <si>
    <t>Still strong margins</t>
  </si>
  <si>
    <t>Delay scale spend, optimize PLG</t>
  </si>
  <si>
    <t>All of the above</t>
  </si>
  <si>
    <t>Worst realistic combined</t>
  </si>
  <si>
    <t>Breakeven — restructure</t>
  </si>
  <si>
    <t>Prove W4 retention before scaling</t>
  </si>
  <si>
    <t>VoiceBridge — Unit Economics Dashboard</t>
  </si>
  <si>
    <t>METRIC</t>
  </si>
  <si>
    <t>VALUE</t>
  </si>
  <si>
    <t>BASIS</t>
  </si>
  <si>
    <t>ARPU — Personal Pro ($/yr)</t>
  </si>
  <si>
    <t>Survey-validated (n=33); 72.7% open to $99/yr</t>
  </si>
  <si>
    <t>ARPU — Team ($/user/yr)</t>
  </si>
  <si>
    <t>Per-seat team license</t>
  </si>
  <si>
    <t>Cost of Service / User / Yr</t>
  </si>
  <si>
    <t>Grok XAI + infra (sub-linear at scale)</t>
  </si>
  <si>
    <t>Gross Margin — Pro Tier</t>
  </si>
  <si>
    <t>85–93% software-typical</t>
  </si>
  <si>
    <t>Blended CAC — Y1 (PLG)</t>
  </si>
  <si>
    <t>Campus ambassadors, Product Hunt, organic Reddit</t>
  </si>
  <si>
    <t>Average Customer Lifetime (yrs)</t>
  </si>
  <si>
    <t>2.5 yr estimate; low for students, high for accessibility users</t>
  </si>
  <si>
    <t>LTV — Pro (ARPU × life)</t>
  </si>
  <si>
    <t>ARPU × avg subscription life</t>
  </si>
  <si>
    <t>LTV / CAC Ratio</t>
  </si>
  <si>
    <t>&gt;3:1 SaaS benchmark; VoiceBridge target &gt;10:1</t>
  </si>
  <si>
    <t>Payback Period (months)</t>
  </si>
  <si>
    <t>Months to recover CAC from monthly revenue</t>
  </si>
  <si>
    <t>Break-Even Users</t>
  </si>
  <si>
    <t>40</t>
  </si>
  <si>
    <t>Monthly OpEx / monthly ARPU (Y1 base)</t>
  </si>
  <si>
    <t>Y3 SOM Penetration</t>
  </si>
  <si>
    <t>4,000 Pro users / 480K SAM</t>
  </si>
  <si>
    <t>VoiceBridge — Use of Sunstone $15,000 Grant</t>
  </si>
  <si>
    <t>Allocation Category</t>
  </si>
  <si>
    <t>Amount ($)</t>
  </si>
  <si>
    <t>% of Total</t>
  </si>
  <si>
    <t>Purpose</t>
  </si>
  <si>
    <t>Beta Infrastructure</t>
  </si>
  <si>
    <t>Supabase, PostHog, CI/CD, code signing (12 months)</t>
  </si>
  <si>
    <t>Beta Recruitment</t>
  </si>
  <si>
    <t>Tester incentives + 3 campus ambassadors</t>
  </si>
  <si>
    <t>UX Research</t>
  </si>
  <si>
    <t>40 hrs usability testing — retention-critical</t>
  </si>
  <si>
    <t>Test Hardware</t>
  </si>
  <si>
    <t>Windows laptop + Android device for QA</t>
  </si>
  <si>
    <t>Legal / IP</t>
  </si>
  <si>
    <t>LLC formation, trademark, privacy policy, ToS</t>
  </si>
  <si>
    <t>BMAC Pilot + CSUN Conference</t>
  </si>
  <si>
    <t>Pilot materials + CSUN AT Conference attendance</t>
  </si>
  <si>
    <t>TOTAL GRANT 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</si>
</sst>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0.0%"/>
    <numFmt numFmtId="166" formatCode="0.0"/>
    <numFmt numFmtId="167" formatCode="\$#,##0;&quot;($&quot;#,##0\);\-"/>
    <numFmt numFmtId="168" formatCode="\$#,##0.00;&quot;($&quot;#,##0.00\);\-"/>
    <numFmt numFmtId="169" formatCode="\$#,##0"/>
  </numFmts>
  <fonts count="26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888888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9.0"/>
      <color rgb="FF1A1A1A"/>
      <name val="Arial"/>
    </font>
    <font>
      <b/>
      <sz val="12.0"/>
      <color rgb="FFFFFFFF"/>
      <name val="Arial"/>
    </font>
    <font>
      <sz val="10.0"/>
      <color rgb="FF1A1A1A"/>
      <name val="Arial"/>
    </font>
    <font>
      <b/>
      <sz val="10.0"/>
      <color rgb="FF0070C0"/>
      <name val="Arial"/>
    </font>
    <font>
      <i/>
      <sz val="9.0"/>
      <color rgb="FF666666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1A2F5A"/>
      <name val="Arial"/>
    </font>
    <font>
      <b/>
      <sz val="10.0"/>
      <color rgb="FF1A1A1A"/>
      <name val="Arial"/>
    </font>
    <font>
      <b/>
      <sz val="10.0"/>
      <color rgb="FFB22222"/>
      <name val="Arial"/>
    </font>
    <font>
      <b/>
      <sz val="10.0"/>
      <color rgb="FF006400"/>
      <name val="Arial"/>
    </font>
    <font>
      <i/>
      <sz val="9.0"/>
      <color rgb="FF888888"/>
      <name val="Arial"/>
    </font>
    <font>
      <b/>
      <sz val="11.0"/>
      <color rgb="FFFFFFFF"/>
      <name val="Arial"/>
    </font>
    <font>
      <i/>
      <sz val="10.0"/>
      <color rgb="FF1A1A1A"/>
      <name val="Arial"/>
    </font>
    <font>
      <sz val="10.0"/>
      <color rgb="FF006400"/>
      <name val="Arial"/>
    </font>
    <font>
      <i/>
      <sz val="9.0"/>
      <color rgb="FFFFFFFF"/>
      <name val="Arial"/>
    </font>
    <font>
      <b/>
      <sz val="11.0"/>
      <color rgb="FF1A2F5A"/>
      <name val="Arial"/>
    </font>
    <font>
      <i/>
      <sz val="9.0"/>
      <color rgb="FF999999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F5A"/>
        <bgColor rgb="FF1A2F5A"/>
      </patternFill>
    </fill>
    <fill>
      <patternFill patternType="solid">
        <fgColor rgb="FFF5F5F5"/>
        <bgColor rgb="FFF5F5F5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B5FA5"/>
        <bgColor rgb="FF2B5FA5"/>
      </patternFill>
    </fill>
    <fill>
      <patternFill patternType="solid">
        <fgColor rgb="FFF2F2F2"/>
        <bgColor rgb="FFF2F2F2"/>
      </patternFill>
    </fill>
    <fill>
      <patternFill patternType="solid">
        <fgColor rgb="FFF0F4FA"/>
        <bgColor rgb="FFF0F4FA"/>
      </patternFill>
    </fill>
    <fill>
      <patternFill patternType="solid">
        <fgColor rgb="FFD6E4F7"/>
        <bgColor rgb="FFD6E4F7"/>
      </patternFill>
    </fill>
    <fill>
      <patternFill patternType="solid">
        <fgColor rgb="FFFFF3CD"/>
        <bgColor rgb="FFFFF3CD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1A2F5A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4" fontId="5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7" fontId="7" numFmtId="0" xfId="0" applyAlignment="1" applyBorder="1" applyFill="1" applyFont="1">
      <alignment horizontal="left" shrinkToFit="0" vertical="center" wrapText="0"/>
    </xf>
    <xf borderId="7" fillId="0" fontId="2" numFmtId="0" xfId="0" applyBorder="1" applyFont="1"/>
    <xf borderId="8" fillId="5" fontId="8" numFmtId="0" xfId="0" applyAlignment="1" applyBorder="1" applyFont="1">
      <alignment horizontal="left" shrinkToFit="0" vertical="center" wrapText="0"/>
    </xf>
    <xf borderId="8" fillId="6" fontId="9" numFmtId="164" xfId="0" applyAlignment="1" applyBorder="1" applyFont="1" applyNumberFormat="1">
      <alignment horizontal="center" shrinkToFit="0" vertical="center" wrapText="0"/>
    </xf>
    <xf borderId="8" fillId="8" fontId="10" numFmtId="0" xfId="0" applyAlignment="1" applyBorder="1" applyFill="1" applyFont="1">
      <alignment horizontal="left" shrinkToFit="0" vertical="center" wrapText="1"/>
    </xf>
    <xf borderId="8" fillId="5" fontId="8" numFmtId="164" xfId="0" applyAlignment="1" applyBorder="1" applyFont="1" applyNumberFormat="1">
      <alignment horizontal="center" shrinkToFit="0" vertical="center" wrapText="0"/>
    </xf>
    <xf borderId="8" fillId="6" fontId="9" numFmtId="164" xfId="0" applyAlignment="1" applyBorder="1" applyFont="1" applyNumberFormat="1">
      <alignment horizontal="center" readingOrder="0" shrinkToFit="0" vertical="center" wrapText="0"/>
    </xf>
    <xf borderId="8" fillId="6" fontId="9" numFmtId="165" xfId="0" applyAlignment="1" applyBorder="1" applyFont="1" applyNumberFormat="1">
      <alignment horizontal="center" readingOrder="0" shrinkToFit="0" vertical="center" wrapText="0"/>
    </xf>
    <xf borderId="8" fillId="6" fontId="9" numFmtId="166" xfId="0" applyAlignment="1" applyBorder="1" applyFont="1" applyNumberFormat="1">
      <alignment horizontal="center" shrinkToFit="0" vertical="center" wrapText="0"/>
    </xf>
    <xf borderId="1" fillId="2" fontId="11" numFmtId="0" xfId="0" applyAlignment="1" applyBorder="1" applyFont="1">
      <alignment horizontal="center" readingOrder="0" shrinkToFit="0" vertical="center" wrapText="0"/>
    </xf>
    <xf borderId="1" fillId="9" fontId="12" numFmtId="0" xfId="0" applyAlignment="1" applyBorder="1" applyFill="1" applyFont="1">
      <alignment horizontal="center" shrinkToFit="0" vertical="center" wrapText="0"/>
    </xf>
    <xf borderId="8" fillId="2" fontId="13" numFmtId="0" xfId="0" applyAlignment="1" applyBorder="1" applyFont="1">
      <alignment horizontal="center" shrinkToFit="0" vertical="center" wrapText="1"/>
    </xf>
    <xf borderId="8" fillId="5" fontId="14" numFmtId="0" xfId="0" applyAlignment="1" applyBorder="1" applyFont="1">
      <alignment horizontal="center" shrinkToFit="0" vertical="center" wrapText="0"/>
    </xf>
    <xf borderId="8" fillId="5" fontId="8" numFmtId="0" xfId="0" applyAlignment="1" applyBorder="1" applyFont="1">
      <alignment horizontal="center" shrinkToFit="0" vertical="center" wrapText="0"/>
    </xf>
    <xf borderId="8" fillId="5" fontId="8" numFmtId="167" xfId="0" applyAlignment="1" applyBorder="1" applyFont="1" applyNumberFormat="1">
      <alignment horizontal="center" shrinkToFit="0" vertical="center" wrapText="0"/>
    </xf>
    <xf borderId="8" fillId="5" fontId="15" numFmtId="167" xfId="0" applyAlignment="1" applyBorder="1" applyFont="1" applyNumberFormat="1">
      <alignment horizontal="center" shrinkToFit="0" vertical="center" wrapText="0"/>
    </xf>
    <xf borderId="8" fillId="5" fontId="16" numFmtId="167" xfId="0" applyAlignment="1" applyBorder="1" applyFont="1" applyNumberFormat="1">
      <alignment horizontal="center" shrinkToFit="0" vertical="center" wrapText="0"/>
    </xf>
    <xf borderId="8" fillId="5" fontId="12" numFmtId="0" xfId="0" applyAlignment="1" applyBorder="1" applyFont="1">
      <alignment horizontal="left" shrinkToFit="0" vertical="center" wrapText="0"/>
    </xf>
    <xf borderId="8" fillId="10" fontId="14" numFmtId="0" xfId="0" applyAlignment="1" applyBorder="1" applyFill="1" applyFont="1">
      <alignment horizontal="center" shrinkToFit="0" vertical="center" wrapText="0"/>
    </xf>
    <xf borderId="8" fillId="10" fontId="8" numFmtId="0" xfId="0" applyAlignment="1" applyBorder="1" applyFont="1">
      <alignment horizontal="center" shrinkToFit="0" vertical="center" wrapText="0"/>
    </xf>
    <xf borderId="8" fillId="10" fontId="8" numFmtId="167" xfId="0" applyAlignment="1" applyBorder="1" applyFont="1" applyNumberFormat="1">
      <alignment horizontal="center" shrinkToFit="0" vertical="center" wrapText="0"/>
    </xf>
    <xf borderId="8" fillId="10" fontId="15" numFmtId="167" xfId="0" applyAlignment="1" applyBorder="1" applyFont="1" applyNumberFormat="1">
      <alignment horizontal="center" shrinkToFit="0" vertical="center" wrapText="0"/>
    </xf>
    <xf borderId="8" fillId="10" fontId="16" numFmtId="167" xfId="0" applyAlignment="1" applyBorder="1" applyFont="1" applyNumberFormat="1">
      <alignment horizontal="center" shrinkToFit="0" vertical="center" wrapText="0"/>
    </xf>
    <xf borderId="8" fillId="10" fontId="12" numFmtId="0" xfId="0" applyAlignment="1" applyBorder="1" applyFont="1">
      <alignment horizontal="left" shrinkToFit="0" vertical="center" wrapText="0"/>
    </xf>
    <xf borderId="8" fillId="5" fontId="12" numFmtId="0" xfId="0" applyAlignment="1" applyBorder="1" applyFont="1">
      <alignment horizontal="left" readingOrder="0" shrinkToFit="0" vertical="center" wrapText="0"/>
    </xf>
    <xf borderId="8" fillId="10" fontId="17" numFmtId="167" xfId="0" applyAlignment="1" applyBorder="1" applyFont="1" applyNumberFormat="1">
      <alignment horizontal="center" shrinkToFit="0" vertical="center" wrapText="0"/>
    </xf>
    <xf borderId="8" fillId="2" fontId="13" numFmtId="0" xfId="0" applyAlignment="1" applyBorder="1" applyFont="1">
      <alignment horizontal="center" shrinkToFit="0" vertical="center" wrapText="0"/>
    </xf>
    <xf borderId="8" fillId="7" fontId="13" numFmtId="0" xfId="0" applyAlignment="1" applyBorder="1" applyFont="1">
      <alignment horizontal="center" shrinkToFit="0" vertical="center" wrapText="0"/>
    </xf>
    <xf borderId="8" fillId="7" fontId="13" numFmtId="167" xfId="0" applyAlignment="1" applyBorder="1" applyFont="1" applyNumberFormat="1">
      <alignment horizontal="center" shrinkToFit="0" vertical="center" wrapText="0"/>
    </xf>
    <xf borderId="8" fillId="7" fontId="18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8" fillId="5" fontId="9" numFmtId="167" xfId="0" applyAlignment="1" applyBorder="1" applyFont="1" applyNumberFormat="1">
      <alignment horizontal="center" shrinkToFit="0" vertical="center" wrapText="0"/>
    </xf>
    <xf borderId="8" fillId="10" fontId="8" numFmtId="0" xfId="0" applyAlignment="1" applyBorder="1" applyFont="1">
      <alignment horizontal="left" shrinkToFit="0" vertical="center" wrapText="0"/>
    </xf>
    <xf borderId="8" fillId="10" fontId="9" numFmtId="167" xfId="0" applyAlignment="1" applyBorder="1" applyFont="1" applyNumberFormat="1">
      <alignment horizontal="center" shrinkToFit="0" vertical="center" wrapText="0"/>
    </xf>
    <xf borderId="9" fillId="7" fontId="19" numFmtId="0" xfId="0" applyAlignment="1" applyBorder="1" applyFont="1">
      <alignment horizontal="left" shrinkToFit="0" vertical="center" wrapText="0"/>
    </xf>
    <xf borderId="9" fillId="7" fontId="19" numFmtId="167" xfId="0" applyAlignment="1" applyBorder="1" applyFont="1" applyNumberFormat="1">
      <alignment horizontal="center" shrinkToFit="0" vertical="center" wrapText="0"/>
    </xf>
    <xf borderId="8" fillId="8" fontId="20" numFmtId="0" xfId="0" applyAlignment="1" applyBorder="1" applyFont="1">
      <alignment horizontal="left" shrinkToFit="0" vertical="center" wrapText="0"/>
    </xf>
    <xf borderId="8" fillId="8" fontId="15" numFmtId="165" xfId="0" applyAlignment="1" applyBorder="1" applyFont="1" applyNumberFormat="1">
      <alignment horizontal="center" shrinkToFit="0" vertical="center" wrapText="0"/>
    </xf>
    <xf borderId="8" fillId="7" fontId="7" numFmtId="0" xfId="0" applyAlignment="1" applyBorder="1" applyFont="1">
      <alignment horizontal="left" shrinkToFit="0" vertical="center" wrapText="0"/>
    </xf>
    <xf borderId="9" fillId="7" fontId="7" numFmtId="167" xfId="0" applyAlignment="1" applyBorder="1" applyFont="1" applyNumberFormat="1">
      <alignment horizontal="center" shrinkToFit="0" vertical="center" wrapText="0"/>
    </xf>
    <xf borderId="8" fillId="8" fontId="15" numFmtId="167" xfId="0" applyAlignment="1" applyBorder="1" applyFont="1" applyNumberFormat="1">
      <alignment horizontal="center" shrinkToFit="0" vertical="center" wrapText="0"/>
    </xf>
    <xf borderId="8" fillId="10" fontId="14" numFmtId="0" xfId="0" applyAlignment="1" applyBorder="1" applyFont="1">
      <alignment horizontal="center" shrinkToFit="0" vertical="center" wrapText="1"/>
    </xf>
    <xf borderId="8" fillId="10" fontId="14" numFmtId="167" xfId="0" applyAlignment="1" applyBorder="1" applyFont="1" applyNumberFormat="1">
      <alignment horizontal="center" shrinkToFit="0" vertical="center" wrapText="1"/>
    </xf>
    <xf borderId="8" fillId="10" fontId="17" numFmtId="167" xfId="0" applyAlignment="1" applyBorder="1" applyFont="1" applyNumberFormat="1">
      <alignment horizontal="center" shrinkToFit="0" vertical="center" wrapText="1"/>
    </xf>
    <xf borderId="8" fillId="5" fontId="8" numFmtId="0" xfId="0" applyAlignment="1" applyBorder="1" applyFont="1">
      <alignment horizontal="center" shrinkToFit="0" vertical="center" wrapText="1"/>
    </xf>
    <xf borderId="8" fillId="5" fontId="8" numFmtId="167" xfId="0" applyAlignment="1" applyBorder="1" applyFont="1" applyNumberFormat="1">
      <alignment horizontal="center" shrinkToFit="0" vertical="center" wrapText="1"/>
    </xf>
    <xf borderId="8" fillId="8" fontId="8" numFmtId="0" xfId="0" applyAlignment="1" applyBorder="1" applyFont="1">
      <alignment horizontal="center" shrinkToFit="0" vertical="center" wrapText="1"/>
    </xf>
    <xf borderId="8" fillId="8" fontId="8" numFmtId="167" xfId="0" applyAlignment="1" applyBorder="1" applyFont="1" applyNumberFormat="1">
      <alignment horizontal="center" shrinkToFit="0" vertical="center" wrapText="1"/>
    </xf>
    <xf borderId="8" fillId="5" fontId="21" numFmtId="167" xfId="0" applyAlignment="1" applyBorder="1" applyFont="1" applyNumberFormat="1">
      <alignment horizontal="center" shrinkToFit="0" vertical="center" wrapText="1"/>
    </xf>
    <xf borderId="8" fillId="8" fontId="21" numFmtId="167" xfId="0" applyAlignment="1" applyBorder="1" applyFont="1" applyNumberFormat="1">
      <alignment horizontal="center" shrinkToFit="0" vertical="center" wrapText="1"/>
    </xf>
    <xf borderId="8" fillId="11" fontId="16" numFmtId="0" xfId="0" applyAlignment="1" applyBorder="1" applyFill="1" applyFont="1">
      <alignment horizontal="center" shrinkToFit="0" vertical="center" wrapText="1"/>
    </xf>
    <xf borderId="8" fillId="11" fontId="16" numFmtId="167" xfId="0" applyAlignment="1" applyBorder="1" applyFont="1" applyNumberFormat="1">
      <alignment horizontal="center" shrinkToFit="0" vertical="center" wrapText="1"/>
    </xf>
    <xf borderId="8" fillId="2" fontId="13" numFmtId="0" xfId="0" applyAlignment="1" applyBorder="1" applyFont="1">
      <alignment horizontal="left" shrinkToFit="0" vertical="center" wrapText="0"/>
    </xf>
    <xf borderId="8" fillId="2" fontId="19" numFmtId="0" xfId="0" applyAlignment="1" applyBorder="1" applyFont="1">
      <alignment horizontal="center" shrinkToFit="0" vertical="center" wrapText="0"/>
    </xf>
    <xf borderId="8" fillId="2" fontId="22" numFmtId="0" xfId="0" applyAlignment="1" applyBorder="1" applyFont="1">
      <alignment horizontal="left" shrinkToFit="0" vertical="center" wrapText="1"/>
    </xf>
    <xf borderId="8" fillId="5" fontId="23" numFmtId="168" xfId="0" applyAlignment="1" applyBorder="1" applyFont="1" applyNumberFormat="1">
      <alignment horizontal="center" shrinkToFit="0" vertical="center" wrapText="0"/>
    </xf>
    <xf borderId="8" fillId="5" fontId="24" numFmtId="0" xfId="0" applyAlignment="1" applyBorder="1" applyFont="1">
      <alignment horizontal="left" shrinkToFit="0" vertical="center" wrapText="1"/>
    </xf>
    <xf borderId="8" fillId="10" fontId="23" numFmtId="168" xfId="0" applyAlignment="1" applyBorder="1" applyFont="1" applyNumberFormat="1">
      <alignment horizontal="center" shrinkToFit="0" vertical="center" wrapText="0"/>
    </xf>
    <xf borderId="8" fillId="10" fontId="24" numFmtId="0" xfId="0" applyAlignment="1" applyBorder="1" applyFont="1">
      <alignment horizontal="left" shrinkToFit="0" vertical="center" wrapText="1"/>
    </xf>
    <xf borderId="8" fillId="10" fontId="23" numFmtId="165" xfId="0" applyAlignment="1" applyBorder="1" applyFont="1" applyNumberFormat="1">
      <alignment horizontal="center" shrinkToFit="0" vertical="center" wrapText="0"/>
    </xf>
    <xf borderId="8" fillId="10" fontId="23" numFmtId="4" xfId="0" applyAlignment="1" applyBorder="1" applyFont="1" applyNumberFormat="1">
      <alignment horizontal="center" readingOrder="0" shrinkToFit="0" vertical="center" wrapText="0"/>
    </xf>
    <xf borderId="8" fillId="5" fontId="23" numFmtId="165" xfId="0" applyAlignment="1" applyBorder="1" applyFont="1" applyNumberFormat="1">
      <alignment horizontal="center" shrinkToFit="0" vertical="center" wrapText="0"/>
    </xf>
    <xf borderId="8" fillId="10" fontId="15" numFmtId="0" xfId="0" applyAlignment="1" applyBorder="1" applyFont="1">
      <alignment horizontal="left" shrinkToFit="0" vertical="center" wrapText="0"/>
    </xf>
    <xf borderId="8" fillId="10" fontId="9" numFmtId="169" xfId="0" applyAlignment="1" applyBorder="1" applyFont="1" applyNumberFormat="1">
      <alignment horizontal="center" shrinkToFit="0" vertical="center" wrapText="0"/>
    </xf>
    <xf borderId="8" fillId="10" fontId="8" numFmtId="165" xfId="0" applyAlignment="1" applyBorder="1" applyFont="1" applyNumberFormat="1">
      <alignment horizontal="center" shrinkToFit="0" vertical="center" wrapText="0"/>
    </xf>
    <xf borderId="8" fillId="10" fontId="12" numFmtId="0" xfId="0" applyAlignment="1" applyBorder="1" applyFont="1">
      <alignment horizontal="left" shrinkToFit="0" vertical="center" wrapText="1"/>
    </xf>
    <xf borderId="8" fillId="5" fontId="15" numFmtId="0" xfId="0" applyAlignment="1" applyBorder="1" applyFont="1">
      <alignment horizontal="left" shrinkToFit="0" vertical="center" wrapText="0"/>
    </xf>
    <xf borderId="8" fillId="5" fontId="9" numFmtId="169" xfId="0" applyAlignment="1" applyBorder="1" applyFont="1" applyNumberFormat="1">
      <alignment horizontal="center" shrinkToFit="0" vertical="center" wrapText="0"/>
    </xf>
    <xf borderId="8" fillId="5" fontId="8" numFmtId="165" xfId="0" applyAlignment="1" applyBorder="1" applyFont="1" applyNumberFormat="1">
      <alignment horizontal="center" shrinkToFit="0" vertical="center" wrapText="0"/>
    </xf>
    <xf borderId="8" fillId="5" fontId="12" numFmtId="0" xfId="0" applyAlignment="1" applyBorder="1" applyFont="1">
      <alignment horizontal="left" shrinkToFit="0" vertical="center" wrapText="1"/>
    </xf>
    <xf borderId="9" fillId="2" fontId="19" numFmtId="0" xfId="0" applyAlignment="1" applyBorder="1" applyFont="1">
      <alignment horizontal="left" shrinkToFit="0" vertical="center" wrapText="0"/>
    </xf>
    <xf borderId="9" fillId="2" fontId="19" numFmtId="169" xfId="0" applyAlignment="1" applyBorder="1" applyFont="1" applyNumberFormat="1">
      <alignment horizontal="center" shrinkToFit="0" vertical="center" wrapText="0"/>
    </xf>
    <xf borderId="9" fillId="2" fontId="19" numFmtId="165" xfId="0" applyAlignment="1" applyBorder="1" applyFont="1" applyNumberFormat="1">
      <alignment horizontal="center" shrinkToFit="0" vertical="center" wrapText="0"/>
    </xf>
    <xf borderId="9" fillId="2" fontId="2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3" width="48.0"/>
    <col customWidth="1" min="4" max="6" width="12.0"/>
    <col customWidth="1" min="7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6.0" customHeight="1"/>
    <row r="4" ht="18.0" customHeight="1">
      <c r="A4" s="5" t="s">
        <v>2</v>
      </c>
      <c r="B4" s="6"/>
      <c r="C4" s="6"/>
      <c r="D4" s="6"/>
      <c r="E4" s="6"/>
      <c r="F4" s="7"/>
    </row>
    <row r="5" ht="18.0" customHeight="1">
      <c r="A5" s="8" t="s">
        <v>3</v>
      </c>
      <c r="B5" s="6"/>
      <c r="C5" s="6"/>
      <c r="D5" s="6"/>
      <c r="E5" s="6"/>
      <c r="F5" s="7"/>
    </row>
    <row r="6" ht="18.0" customHeight="1">
      <c r="A6" s="9" t="s">
        <v>4</v>
      </c>
      <c r="B6" s="6"/>
      <c r="C6" s="6"/>
      <c r="D6" s="6"/>
      <c r="E6" s="6"/>
      <c r="F6" s="7"/>
    </row>
    <row r="7" ht="18.0" customHeight="1">
      <c r="A7" s="10" t="s">
        <v>5</v>
      </c>
      <c r="B7" s="6"/>
      <c r="C7" s="6"/>
      <c r="D7" s="6"/>
      <c r="E7" s="6"/>
      <c r="F7" s="7"/>
    </row>
    <row r="9">
      <c r="A9" s="11" t="s">
        <v>6</v>
      </c>
      <c r="B9" s="6"/>
      <c r="C9" s="6"/>
      <c r="D9" s="6"/>
      <c r="E9" s="6"/>
      <c r="F9" s="12"/>
    </row>
    <row r="10" ht="18.0" customHeight="1">
      <c r="A10" s="13" t="s">
        <v>7</v>
      </c>
      <c r="B10" s="14">
        <v>99.0</v>
      </c>
      <c r="C10" s="15" t="s">
        <v>8</v>
      </c>
    </row>
    <row r="11" ht="18.0" customHeight="1">
      <c r="A11" s="13" t="s">
        <v>9</v>
      </c>
      <c r="B11" s="16">
        <f>B10/12</f>
        <v>8.25</v>
      </c>
      <c r="C11" s="15" t="s">
        <v>10</v>
      </c>
    </row>
    <row r="12" ht="18.0" customHeight="1">
      <c r="A12" s="13" t="s">
        <v>11</v>
      </c>
      <c r="B12" s="14">
        <v>49.0</v>
      </c>
      <c r="C12" s="15" t="s">
        <v>12</v>
      </c>
    </row>
    <row r="13" ht="18.0" customHeight="1">
      <c r="A13" s="13" t="s">
        <v>13</v>
      </c>
      <c r="B13" s="14">
        <v>3000.0</v>
      </c>
      <c r="C13" s="15" t="s">
        <v>14</v>
      </c>
    </row>
    <row r="14" ht="18.0" customHeight="1">
      <c r="A14" s="13" t="s">
        <v>15</v>
      </c>
      <c r="B14" s="14">
        <v>8000.0</v>
      </c>
      <c r="C14" s="15" t="s">
        <v>16</v>
      </c>
    </row>
    <row r="15" ht="18.0" customHeight="1">
      <c r="A15" s="13" t="s">
        <v>17</v>
      </c>
      <c r="B15" s="16">
        <f>(B13+B14)/2</f>
        <v>5500</v>
      </c>
      <c r="C15" s="15" t="s">
        <v>18</v>
      </c>
    </row>
    <row r="16" ht="18.0" customHeight="1">
      <c r="A16" s="13" t="s">
        <v>19</v>
      </c>
      <c r="B16" s="14">
        <v>49.0</v>
      </c>
      <c r="C16" s="15" t="s">
        <v>20</v>
      </c>
    </row>
    <row r="18">
      <c r="A18" s="11" t="s">
        <v>21</v>
      </c>
      <c r="B18" s="6"/>
      <c r="C18" s="6"/>
      <c r="D18" s="6"/>
      <c r="E18" s="6"/>
      <c r="F18" s="12"/>
    </row>
    <row r="19" ht="18.0" customHeight="1">
      <c r="A19" s="13" t="s">
        <v>22</v>
      </c>
      <c r="B19" s="14">
        <v>6.0</v>
      </c>
    </row>
    <row r="20" ht="18.0" customHeight="1">
      <c r="A20" s="13" t="s">
        <v>23</v>
      </c>
      <c r="B20" s="17">
        <v>15.0</v>
      </c>
    </row>
    <row r="21" ht="18.0" customHeight="1">
      <c r="A21" s="13" t="s">
        <v>24</v>
      </c>
      <c r="B21" s="16">
        <f>B19+B20</f>
        <v>21</v>
      </c>
    </row>
    <row r="22" ht="18.0" customHeight="1">
      <c r="A22" s="13" t="s">
        <v>25</v>
      </c>
      <c r="B22" s="14">
        <v>20.0</v>
      </c>
    </row>
    <row r="23" ht="18.0" customHeight="1">
      <c r="A23" s="13" t="s">
        <v>26</v>
      </c>
      <c r="B23" s="14">
        <v>18.0</v>
      </c>
    </row>
    <row r="24" ht="18.0" customHeight="1">
      <c r="A24" s="13" t="s">
        <v>27</v>
      </c>
      <c r="B24" s="14">
        <v>15.0</v>
      </c>
    </row>
    <row r="25" ht="18.0" customHeight="1">
      <c r="A25" s="13" t="s">
        <v>28</v>
      </c>
      <c r="B25" s="18">
        <v>0.05</v>
      </c>
    </row>
    <row r="26" ht="18.0" customHeight="1">
      <c r="A26" s="13" t="s">
        <v>29</v>
      </c>
      <c r="B26" s="19">
        <v>2.5</v>
      </c>
    </row>
    <row r="27" ht="18.0" customHeight="1">
      <c r="A27" s="13" t="s">
        <v>30</v>
      </c>
      <c r="B27" s="16">
        <f>B10*B26</f>
        <v>247.5</v>
      </c>
    </row>
    <row r="28" ht="18.0" customHeight="1">
      <c r="A28" s="13" t="s">
        <v>31</v>
      </c>
      <c r="B28" s="16">
        <f>B27/B22</f>
        <v>12.375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4:F4"/>
    <mergeCell ref="A5:F5"/>
    <mergeCell ref="A6:F6"/>
    <mergeCell ref="A7:F7"/>
    <mergeCell ref="A9:F9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86"/>
    <col customWidth="1" min="2" max="2" width="14.0"/>
    <col customWidth="1" min="3" max="3" width="12.0"/>
    <col customWidth="1" min="4" max="5" width="14.0"/>
    <col customWidth="1" min="6" max="6" width="16.0"/>
    <col customWidth="1" min="7" max="7" width="14.0"/>
    <col customWidth="1" min="8" max="8" width="16.0"/>
    <col customWidth="1" min="9" max="9" width="14.0"/>
    <col customWidth="1" min="10" max="10" width="30.0"/>
    <col customWidth="1" min="11" max="26" width="8.71"/>
  </cols>
  <sheetData>
    <row r="1" ht="36.0" customHeight="1">
      <c r="A1" s="20" t="s">
        <v>32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21" t="s">
        <v>33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22" t="s">
        <v>34</v>
      </c>
      <c r="B3" s="22" t="s">
        <v>35</v>
      </c>
      <c r="C3" s="22" t="s">
        <v>36</v>
      </c>
      <c r="D3" s="22" t="s">
        <v>37</v>
      </c>
      <c r="E3" s="22" t="s">
        <v>38</v>
      </c>
      <c r="F3" s="22" t="s">
        <v>39</v>
      </c>
      <c r="G3" s="22" t="s">
        <v>40</v>
      </c>
      <c r="H3" s="22" t="s">
        <v>41</v>
      </c>
      <c r="I3" s="22" t="s">
        <v>42</v>
      </c>
      <c r="J3" s="22" t="s">
        <v>43</v>
      </c>
    </row>
    <row r="4" ht="19.5" customHeight="1">
      <c r="A4" s="23" t="s">
        <v>44</v>
      </c>
      <c r="B4" s="24">
        <v>30.0</v>
      </c>
      <c r="C4" s="24">
        <v>0.0</v>
      </c>
      <c r="D4" s="24">
        <v>0.0</v>
      </c>
      <c r="E4" s="25">
        <f>D4*(Assumptions!B10/12)</f>
        <v>0</v>
      </c>
      <c r="F4" s="25">
        <v>0.0</v>
      </c>
      <c r="G4" s="26">
        <f t="shared" ref="G4:G15" si="1">E4+F4</f>
        <v>0</v>
      </c>
      <c r="H4" s="25">
        <v>2500.0</v>
      </c>
      <c r="I4" s="27">
        <f t="shared" ref="I4:I15" si="2">G4-H4</f>
        <v>-2500</v>
      </c>
      <c r="J4" s="28" t="s">
        <v>45</v>
      </c>
    </row>
    <row r="5" ht="19.5" customHeight="1">
      <c r="A5" s="29" t="s">
        <v>46</v>
      </c>
      <c r="B5" s="30">
        <v>80.0</v>
      </c>
      <c r="C5" s="30">
        <v>0.0</v>
      </c>
      <c r="D5" s="30">
        <v>0.0</v>
      </c>
      <c r="E5" s="31">
        <f>D5*(Assumptions!B10/12)</f>
        <v>0</v>
      </c>
      <c r="F5" s="31">
        <v>0.0</v>
      </c>
      <c r="G5" s="32">
        <f t="shared" si="1"/>
        <v>0</v>
      </c>
      <c r="H5" s="31">
        <v>2800.0</v>
      </c>
      <c r="I5" s="33">
        <f t="shared" si="2"/>
        <v>-2800</v>
      </c>
      <c r="J5" s="34" t="s">
        <v>47</v>
      </c>
    </row>
    <row r="6" ht="19.5" customHeight="1">
      <c r="A6" s="23" t="s">
        <v>48</v>
      </c>
      <c r="B6" s="24">
        <v>150.0</v>
      </c>
      <c r="C6" s="24">
        <v>5.0</v>
      </c>
      <c r="D6" s="24">
        <v>5.0</v>
      </c>
      <c r="E6" s="25">
        <f>D6*(Assumptions!B10/12)</f>
        <v>41.25</v>
      </c>
      <c r="F6" s="25">
        <v>0.0</v>
      </c>
      <c r="G6" s="26">
        <f t="shared" si="1"/>
        <v>41.25</v>
      </c>
      <c r="H6" s="25">
        <v>3000.0</v>
      </c>
      <c r="I6" s="27">
        <f t="shared" si="2"/>
        <v>-2958.75</v>
      </c>
      <c r="J6" s="28" t="s">
        <v>49</v>
      </c>
    </row>
    <row r="7" ht="19.5" customHeight="1">
      <c r="A7" s="29" t="s">
        <v>50</v>
      </c>
      <c r="B7" s="30">
        <v>250.0</v>
      </c>
      <c r="C7" s="30">
        <v>10.0</v>
      </c>
      <c r="D7" s="30">
        <v>15.0</v>
      </c>
      <c r="E7" s="31">
        <f>D7*(Assumptions!B10/12)</f>
        <v>123.75</v>
      </c>
      <c r="F7" s="31">
        <v>0.0</v>
      </c>
      <c r="G7" s="32">
        <f t="shared" si="1"/>
        <v>123.75</v>
      </c>
      <c r="H7" s="31">
        <v>3200.0</v>
      </c>
      <c r="I7" s="33">
        <f t="shared" si="2"/>
        <v>-3076.25</v>
      </c>
      <c r="J7" s="34" t="s">
        <v>51</v>
      </c>
    </row>
    <row r="8" ht="19.5" customHeight="1">
      <c r="A8" s="23" t="s">
        <v>52</v>
      </c>
      <c r="B8" s="24">
        <v>400.0</v>
      </c>
      <c r="C8" s="24">
        <v>20.0</v>
      </c>
      <c r="D8" s="24">
        <v>35.0</v>
      </c>
      <c r="E8" s="25">
        <f>D8*(Assumptions!B10/12)</f>
        <v>288.75</v>
      </c>
      <c r="F8" s="25">
        <v>0.0</v>
      </c>
      <c r="G8" s="26">
        <f t="shared" si="1"/>
        <v>288.75</v>
      </c>
      <c r="H8" s="25">
        <v>3200.0</v>
      </c>
      <c r="I8" s="27">
        <f t="shared" si="2"/>
        <v>-2911.25</v>
      </c>
      <c r="J8" s="28" t="s">
        <v>53</v>
      </c>
    </row>
    <row r="9" ht="19.5" customHeight="1">
      <c r="A9" s="29" t="s">
        <v>54</v>
      </c>
      <c r="B9" s="30">
        <v>600.0</v>
      </c>
      <c r="C9" s="30">
        <v>30.0</v>
      </c>
      <c r="D9" s="30">
        <v>65.0</v>
      </c>
      <c r="E9" s="31">
        <f>D9*(Assumptions!B10/12)</f>
        <v>536.25</v>
      </c>
      <c r="F9" s="31">
        <v>0.0</v>
      </c>
      <c r="G9" s="32">
        <f t="shared" si="1"/>
        <v>536.25</v>
      </c>
      <c r="H9" s="31">
        <v>3500.0</v>
      </c>
      <c r="I9" s="33">
        <f t="shared" si="2"/>
        <v>-2963.75</v>
      </c>
      <c r="J9" s="34" t="s">
        <v>55</v>
      </c>
    </row>
    <row r="10" ht="19.5" customHeight="1">
      <c r="A10" s="23" t="s">
        <v>56</v>
      </c>
      <c r="B10" s="24">
        <v>900.0</v>
      </c>
      <c r="C10" s="24">
        <v>55.0</v>
      </c>
      <c r="D10" s="24">
        <v>120.0</v>
      </c>
      <c r="E10" s="25">
        <f>D10*(Assumptions!B10/12)</f>
        <v>990</v>
      </c>
      <c r="F10" s="25">
        <v>0.0</v>
      </c>
      <c r="G10" s="26">
        <f t="shared" si="1"/>
        <v>990</v>
      </c>
      <c r="H10" s="25">
        <v>4500.0</v>
      </c>
      <c r="I10" s="27">
        <f t="shared" si="2"/>
        <v>-3510</v>
      </c>
      <c r="J10" s="35" t="s">
        <v>57</v>
      </c>
    </row>
    <row r="11" ht="19.5" customHeight="1">
      <c r="A11" s="29" t="s">
        <v>58</v>
      </c>
      <c r="B11" s="30">
        <v>1200.0</v>
      </c>
      <c r="C11" s="30">
        <v>60.0</v>
      </c>
      <c r="D11" s="30">
        <v>180.0</v>
      </c>
      <c r="E11" s="31">
        <f>D11*(Assumptions!B10/12)</f>
        <v>1485</v>
      </c>
      <c r="F11" s="31">
        <v>0.0</v>
      </c>
      <c r="G11" s="32">
        <f t="shared" si="1"/>
        <v>1485</v>
      </c>
      <c r="H11" s="31">
        <v>3800.0</v>
      </c>
      <c r="I11" s="33">
        <f t="shared" si="2"/>
        <v>-2315</v>
      </c>
      <c r="J11" s="34" t="s">
        <v>59</v>
      </c>
    </row>
    <row r="12" ht="19.5" customHeight="1">
      <c r="A12" s="23" t="s">
        <v>60</v>
      </c>
      <c r="B12" s="24">
        <v>1500.0</v>
      </c>
      <c r="C12" s="24">
        <v>70.0</v>
      </c>
      <c r="D12" s="24">
        <v>250.0</v>
      </c>
      <c r="E12" s="25">
        <f>D12*(Assumptions!B10/12)</f>
        <v>2062.5</v>
      </c>
      <c r="F12" s="25">
        <v>0.0</v>
      </c>
      <c r="G12" s="26">
        <f t="shared" si="1"/>
        <v>2062.5</v>
      </c>
      <c r="H12" s="25">
        <v>3800.0</v>
      </c>
      <c r="I12" s="27">
        <f t="shared" si="2"/>
        <v>-1737.5</v>
      </c>
      <c r="J12" s="28" t="s">
        <v>61</v>
      </c>
    </row>
    <row r="13" ht="19.5" customHeight="1">
      <c r="A13" s="29" t="s">
        <v>62</v>
      </c>
      <c r="B13" s="30">
        <v>1700.0</v>
      </c>
      <c r="C13" s="30">
        <v>40.0</v>
      </c>
      <c r="D13" s="30">
        <v>290.0</v>
      </c>
      <c r="E13" s="31">
        <f>D13*(Assumptions!B10/12)</f>
        <v>2392.5</v>
      </c>
      <c r="F13" s="31">
        <v>0.0</v>
      </c>
      <c r="G13" s="32">
        <f t="shared" si="1"/>
        <v>2392.5</v>
      </c>
      <c r="H13" s="31">
        <v>3500.0</v>
      </c>
      <c r="I13" s="33">
        <f t="shared" si="2"/>
        <v>-1107.5</v>
      </c>
      <c r="J13" s="34" t="s">
        <v>63</v>
      </c>
    </row>
    <row r="14" ht="19.5" customHeight="1">
      <c r="A14" s="23" t="s">
        <v>64</v>
      </c>
      <c r="B14" s="24">
        <v>1850.0</v>
      </c>
      <c r="C14" s="24">
        <v>30.0</v>
      </c>
      <c r="D14" s="24">
        <v>320.0</v>
      </c>
      <c r="E14" s="25">
        <f>D14*(Assumptions!B10/12)</f>
        <v>2640</v>
      </c>
      <c r="F14" s="25">
        <v>0.0</v>
      </c>
      <c r="G14" s="26">
        <f t="shared" si="1"/>
        <v>2640</v>
      </c>
      <c r="H14" s="25">
        <v>3500.0</v>
      </c>
      <c r="I14" s="27">
        <f t="shared" si="2"/>
        <v>-860</v>
      </c>
      <c r="J14" s="28" t="s">
        <v>65</v>
      </c>
    </row>
    <row r="15" ht="19.5" customHeight="1">
      <c r="A15" s="29" t="s">
        <v>66</v>
      </c>
      <c r="B15" s="30">
        <v>2000.0</v>
      </c>
      <c r="C15" s="30">
        <v>30.0</v>
      </c>
      <c r="D15" s="30">
        <v>350.0</v>
      </c>
      <c r="E15" s="31">
        <f>D15*(Assumptions!B10/12)</f>
        <v>2887.5</v>
      </c>
      <c r="F15" s="31">
        <v>8000.0</v>
      </c>
      <c r="G15" s="32">
        <f t="shared" si="1"/>
        <v>10887.5</v>
      </c>
      <c r="H15" s="31">
        <v>3200.0</v>
      </c>
      <c r="I15" s="36">
        <f t="shared" si="2"/>
        <v>7687.5</v>
      </c>
      <c r="J15" s="34" t="s">
        <v>67</v>
      </c>
    </row>
    <row r="16" ht="21.75" customHeight="1">
      <c r="A16" s="37" t="s">
        <v>68</v>
      </c>
      <c r="B16" s="38">
        <f>D15</f>
        <v>350</v>
      </c>
      <c r="C16" s="38">
        <f>SUM(C4:C15)</f>
        <v>350</v>
      </c>
      <c r="D16" s="38">
        <f>D15</f>
        <v>350</v>
      </c>
      <c r="E16" s="39">
        <f t="shared" ref="E16:I16" si="3">SUM(E4:E15)</f>
        <v>13447.5</v>
      </c>
      <c r="F16" s="39">
        <f t="shared" si="3"/>
        <v>8000</v>
      </c>
      <c r="G16" s="39">
        <f t="shared" si="3"/>
        <v>21447.5</v>
      </c>
      <c r="H16" s="39">
        <f t="shared" si="3"/>
        <v>40500</v>
      </c>
      <c r="I16" s="39">
        <f t="shared" si="3"/>
        <v>-19052.5</v>
      </c>
      <c r="J16" s="40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29"/>
    <col customWidth="1" min="2" max="5" width="20.0"/>
    <col customWidth="1" min="6" max="26" width="8.71"/>
  </cols>
  <sheetData>
    <row r="1" ht="36.0" customHeight="1">
      <c r="A1" s="41" t="s">
        <v>70</v>
      </c>
      <c r="B1" s="2"/>
      <c r="C1" s="2"/>
      <c r="D1" s="2"/>
      <c r="E1" s="3"/>
    </row>
    <row r="2" ht="6.0" customHeight="1"/>
    <row r="3" ht="27.75" customHeight="1">
      <c r="A3" s="22"/>
      <c r="B3" s="22" t="s">
        <v>71</v>
      </c>
      <c r="C3" s="22" t="s">
        <v>72</v>
      </c>
      <c r="D3" s="22" t="s">
        <v>73</v>
      </c>
      <c r="E3" s="22" t="s">
        <v>74</v>
      </c>
    </row>
    <row r="4">
      <c r="A4" s="11" t="s">
        <v>75</v>
      </c>
      <c r="B4" s="6"/>
      <c r="C4" s="6"/>
      <c r="D4" s="6"/>
      <c r="E4" s="12"/>
    </row>
    <row r="5" ht="19.5" customHeight="1">
      <c r="A5" s="13" t="s">
        <v>76</v>
      </c>
      <c r="B5" s="42">
        <v>34650.0</v>
      </c>
      <c r="C5" s="42">
        <v>148500.0</v>
      </c>
      <c r="D5" s="42">
        <v>396000.0</v>
      </c>
      <c r="E5" s="25">
        <f t="shared" ref="E5:E7" si="1">SUM(B5:D5)</f>
        <v>579150</v>
      </c>
    </row>
    <row r="6" ht="19.5" customHeight="1">
      <c r="A6" s="43" t="s">
        <v>77</v>
      </c>
      <c r="B6" s="44">
        <v>0.0</v>
      </c>
      <c r="C6" s="44">
        <v>19600.0</v>
      </c>
      <c r="D6" s="44">
        <v>73500.0</v>
      </c>
      <c r="E6" s="31">
        <f t="shared" si="1"/>
        <v>93100</v>
      </c>
    </row>
    <row r="7" ht="19.5" customHeight="1">
      <c r="A7" s="13" t="s">
        <v>78</v>
      </c>
      <c r="B7" s="42">
        <v>8000.0</v>
      </c>
      <c r="C7" s="42">
        <v>30000.0</v>
      </c>
      <c r="D7" s="42">
        <v>75000.0</v>
      </c>
      <c r="E7" s="25">
        <f t="shared" si="1"/>
        <v>113000</v>
      </c>
    </row>
    <row r="8" ht="21.75" customHeight="1">
      <c r="A8" s="45" t="s">
        <v>79</v>
      </c>
      <c r="B8" s="46">
        <f t="shared" ref="B8:E8" si="2">SUM(B5:B7)</f>
        <v>42650</v>
      </c>
      <c r="C8" s="46">
        <f t="shared" si="2"/>
        <v>198100</v>
      </c>
      <c r="D8" s="46">
        <f t="shared" si="2"/>
        <v>544500</v>
      </c>
      <c r="E8" s="46">
        <f t="shared" si="2"/>
        <v>785250</v>
      </c>
    </row>
    <row r="9">
      <c r="A9" s="11" t="s">
        <v>80</v>
      </c>
      <c r="B9" s="6"/>
      <c r="C9" s="6"/>
      <c r="D9" s="6"/>
      <c r="E9" s="12"/>
    </row>
    <row r="10" ht="19.5" customHeight="1">
      <c r="A10" s="13" t="s">
        <v>81</v>
      </c>
      <c r="B10" s="42">
        <v>6000.0</v>
      </c>
      <c r="C10" s="42">
        <v>18500.0</v>
      </c>
      <c r="D10" s="42">
        <v>46000.0</v>
      </c>
      <c r="E10" s="25">
        <f>SUM(B10:D10)</f>
        <v>70500</v>
      </c>
    </row>
    <row r="11" ht="21.75" customHeight="1">
      <c r="A11" s="45" t="s">
        <v>82</v>
      </c>
      <c r="B11" s="46">
        <f t="shared" ref="B11:E11" si="3">B8-B10</f>
        <v>36650</v>
      </c>
      <c r="C11" s="46">
        <f t="shared" si="3"/>
        <v>179600</v>
      </c>
      <c r="D11" s="46">
        <f t="shared" si="3"/>
        <v>498500</v>
      </c>
      <c r="E11" s="46">
        <f t="shared" si="3"/>
        <v>714750</v>
      </c>
    </row>
    <row r="12" ht="19.5" customHeight="1">
      <c r="A12" s="47" t="s">
        <v>83</v>
      </c>
      <c r="B12" s="48">
        <f t="shared" ref="B12:E12" si="4">IFERROR(B11/B8,0)</f>
        <v>0.8593200469</v>
      </c>
      <c r="C12" s="48">
        <f t="shared" si="4"/>
        <v>0.9066128218</v>
      </c>
      <c r="D12" s="48">
        <f t="shared" si="4"/>
        <v>0.9155188246</v>
      </c>
      <c r="E12" s="48">
        <f t="shared" si="4"/>
        <v>0.9102196753</v>
      </c>
    </row>
    <row r="13">
      <c r="A13" s="11" t="s">
        <v>84</v>
      </c>
      <c r="B13" s="6"/>
      <c r="C13" s="6"/>
      <c r="D13" s="6"/>
      <c r="E13" s="12"/>
    </row>
    <row r="14" ht="18.0" customHeight="1">
      <c r="A14" s="43" t="s">
        <v>85</v>
      </c>
      <c r="B14" s="44">
        <v>2500.0</v>
      </c>
      <c r="C14" s="44">
        <v>10000.0</v>
      </c>
      <c r="D14" s="44">
        <v>28000.0</v>
      </c>
      <c r="E14" s="31">
        <f t="shared" ref="E14:E21" si="5">SUM(B14:D14)</f>
        <v>40500</v>
      </c>
    </row>
    <row r="15" ht="18.0" customHeight="1">
      <c r="A15" s="13" t="s">
        <v>86</v>
      </c>
      <c r="B15" s="42">
        <v>2300.0</v>
      </c>
      <c r="C15" s="42">
        <v>6000.0</v>
      </c>
      <c r="D15" s="42">
        <v>14000.0</v>
      </c>
      <c r="E15" s="25">
        <f t="shared" si="5"/>
        <v>22300</v>
      </c>
    </row>
    <row r="16" ht="18.0" customHeight="1">
      <c r="A16" s="43" t="s">
        <v>87</v>
      </c>
      <c r="B16" s="44">
        <v>1200.0</v>
      </c>
      <c r="C16" s="44">
        <v>2500.0</v>
      </c>
      <c r="D16" s="44">
        <v>4000.0</v>
      </c>
      <c r="E16" s="31">
        <f t="shared" si="5"/>
        <v>7700</v>
      </c>
    </row>
    <row r="17" ht="18.0" customHeight="1">
      <c r="A17" s="13" t="s">
        <v>88</v>
      </c>
      <c r="B17" s="42">
        <v>2000.0</v>
      </c>
      <c r="C17" s="42">
        <v>3500.0</v>
      </c>
      <c r="D17" s="42">
        <v>5000.0</v>
      </c>
      <c r="E17" s="25">
        <f t="shared" si="5"/>
        <v>10500</v>
      </c>
    </row>
    <row r="18" ht="18.0" customHeight="1">
      <c r="A18" s="43" t="s">
        <v>89</v>
      </c>
      <c r="B18" s="44">
        <v>7000.0</v>
      </c>
      <c r="C18" s="44">
        <v>30000.0</v>
      </c>
      <c r="D18" s="44">
        <v>65000.0</v>
      </c>
      <c r="E18" s="31">
        <f t="shared" si="5"/>
        <v>102000</v>
      </c>
    </row>
    <row r="19" ht="18.0" customHeight="1">
      <c r="A19" s="13" t="s">
        <v>90</v>
      </c>
      <c r="B19" s="42">
        <v>4500.0</v>
      </c>
      <c r="C19" s="42">
        <v>8000.0</v>
      </c>
      <c r="D19" s="42">
        <v>15000.0</v>
      </c>
      <c r="E19" s="25">
        <f t="shared" si="5"/>
        <v>27500</v>
      </c>
    </row>
    <row r="20" ht="18.0" customHeight="1">
      <c r="A20" s="43" t="s">
        <v>91</v>
      </c>
      <c r="B20" s="44">
        <v>20000.0</v>
      </c>
      <c r="C20" s="44">
        <v>58500.0</v>
      </c>
      <c r="D20" s="44">
        <v>121000.0</v>
      </c>
      <c r="E20" s="31">
        <f t="shared" si="5"/>
        <v>199500</v>
      </c>
    </row>
    <row r="21" ht="18.0" customHeight="1">
      <c r="A21" s="13" t="s">
        <v>92</v>
      </c>
      <c r="B21" s="42">
        <v>0.0</v>
      </c>
      <c r="C21" s="42">
        <v>24000.0</v>
      </c>
      <c r="D21" s="42">
        <v>60000.0</v>
      </c>
      <c r="E21" s="25">
        <f t="shared" si="5"/>
        <v>84000</v>
      </c>
    </row>
    <row r="22" ht="21.75" customHeight="1">
      <c r="A22" s="45" t="s">
        <v>93</v>
      </c>
      <c r="B22" s="46">
        <f t="shared" ref="B22:E22" si="6">SUM(B14:B21)</f>
        <v>39500</v>
      </c>
      <c r="C22" s="46">
        <f t="shared" si="6"/>
        <v>142500</v>
      </c>
      <c r="D22" s="46">
        <f t="shared" si="6"/>
        <v>312000</v>
      </c>
      <c r="E22" s="46">
        <f t="shared" si="6"/>
        <v>494000</v>
      </c>
    </row>
    <row r="23" ht="24.0" customHeight="1">
      <c r="A23" s="49" t="s">
        <v>94</v>
      </c>
      <c r="B23" s="50">
        <f t="shared" ref="B23:E23" si="7">B11-B22</f>
        <v>-2850</v>
      </c>
      <c r="C23" s="50">
        <f t="shared" si="7"/>
        <v>37100</v>
      </c>
      <c r="D23" s="50">
        <f t="shared" si="7"/>
        <v>186500</v>
      </c>
      <c r="E23" s="50">
        <f t="shared" si="7"/>
        <v>220750</v>
      </c>
    </row>
    <row r="24" ht="19.5" customHeight="1">
      <c r="A24" s="47" t="s">
        <v>95</v>
      </c>
      <c r="B24" s="48">
        <f t="shared" ref="B24:E24" si="8">IFERROR(B23/B8,0)</f>
        <v>-0.06682297773</v>
      </c>
      <c r="C24" s="48">
        <f t="shared" si="8"/>
        <v>0.1872791519</v>
      </c>
      <c r="D24" s="48">
        <f t="shared" si="8"/>
        <v>0.3425160698</v>
      </c>
      <c r="E24" s="48">
        <f t="shared" si="8"/>
        <v>0.2811206622</v>
      </c>
    </row>
    <row r="25" ht="19.5" customHeight="1">
      <c r="A25" s="47" t="s">
        <v>96</v>
      </c>
      <c r="B25" s="51">
        <f>B23</f>
        <v>-2850</v>
      </c>
      <c r="C25" s="51">
        <f t="shared" ref="C25:D25" si="9">B25+C23</f>
        <v>34250</v>
      </c>
      <c r="D25" s="51">
        <f t="shared" si="9"/>
        <v>220750</v>
      </c>
      <c r="E25" s="51">
        <f>D25</f>
        <v>220750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4:E4"/>
    <mergeCell ref="A9:E9"/>
    <mergeCell ref="A13:E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4" width="18.0"/>
    <col customWidth="1" min="5" max="5" width="28.0"/>
    <col customWidth="1" min="6" max="6" width="38.0"/>
    <col customWidth="1" min="7" max="26" width="8.71"/>
  </cols>
  <sheetData>
    <row r="1" ht="36.0" customHeight="1">
      <c r="A1" s="41" t="s">
        <v>97</v>
      </c>
      <c r="B1" s="2"/>
      <c r="C1" s="2"/>
      <c r="D1" s="2"/>
      <c r="E1" s="2"/>
      <c r="F1" s="3"/>
    </row>
    <row r="2" ht="18.0" customHeight="1">
      <c r="A2" s="21" t="s">
        <v>98</v>
      </c>
      <c r="B2" s="2"/>
      <c r="C2" s="2"/>
      <c r="D2" s="2"/>
      <c r="E2" s="2"/>
      <c r="F2" s="3"/>
    </row>
    <row r="3" ht="6.0" customHeight="1"/>
    <row r="4" ht="31.5" customHeight="1">
      <c r="A4" s="22" t="s">
        <v>99</v>
      </c>
      <c r="B4" s="22" t="s">
        <v>100</v>
      </c>
      <c r="C4" s="22" t="s">
        <v>101</v>
      </c>
      <c r="D4" s="22" t="s">
        <v>102</v>
      </c>
      <c r="E4" s="22" t="s">
        <v>103</v>
      </c>
      <c r="F4" s="22" t="s">
        <v>104</v>
      </c>
    </row>
    <row r="5" ht="21.75" customHeight="1">
      <c r="A5" s="52" t="s">
        <v>105</v>
      </c>
      <c r="B5" s="52" t="s">
        <v>106</v>
      </c>
      <c r="C5" s="53">
        <v>544500.0</v>
      </c>
      <c r="D5" s="54">
        <v>232500.0</v>
      </c>
      <c r="E5" s="52" t="s">
        <v>107</v>
      </c>
      <c r="F5" s="52" t="s">
        <v>108</v>
      </c>
    </row>
    <row r="6" ht="21.75" customHeight="1">
      <c r="A6" s="55" t="s">
        <v>109</v>
      </c>
      <c r="B6" s="55" t="s">
        <v>110</v>
      </c>
      <c r="C6" s="56">
        <v>310000.0</v>
      </c>
      <c r="D6" s="56">
        <v>65000.0</v>
      </c>
      <c r="E6" s="55" t="s">
        <v>111</v>
      </c>
      <c r="F6" s="55" t="s">
        <v>112</v>
      </c>
    </row>
    <row r="7" ht="21.75" customHeight="1">
      <c r="A7" s="57" t="s">
        <v>113</v>
      </c>
      <c r="B7" s="57" t="s">
        <v>114</v>
      </c>
      <c r="C7" s="58">
        <v>340000.0</v>
      </c>
      <c r="D7" s="58">
        <v>95000.0</v>
      </c>
      <c r="E7" s="57" t="s">
        <v>115</v>
      </c>
      <c r="F7" s="57" t="s">
        <v>116</v>
      </c>
    </row>
    <row r="8" ht="21.75" customHeight="1">
      <c r="A8" s="55" t="s">
        <v>117</v>
      </c>
      <c r="B8" s="55" t="s">
        <v>118</v>
      </c>
      <c r="C8" s="56">
        <v>505000.0</v>
      </c>
      <c r="D8" s="59">
        <v>210000.0</v>
      </c>
      <c r="E8" s="55" t="s">
        <v>119</v>
      </c>
      <c r="F8" s="55" t="s">
        <v>120</v>
      </c>
    </row>
    <row r="9" ht="21.75" customHeight="1">
      <c r="A9" s="57" t="s">
        <v>121</v>
      </c>
      <c r="B9" s="57" t="s">
        <v>122</v>
      </c>
      <c r="C9" s="58">
        <v>544500.0</v>
      </c>
      <c r="D9" s="60">
        <v>167500.0</v>
      </c>
      <c r="E9" s="57" t="s">
        <v>123</v>
      </c>
      <c r="F9" s="57" t="s">
        <v>124</v>
      </c>
    </row>
    <row r="10" ht="21.75" customHeight="1">
      <c r="A10" s="61" t="s">
        <v>125</v>
      </c>
      <c r="B10" s="61" t="s">
        <v>126</v>
      </c>
      <c r="C10" s="62">
        <v>200000.0</v>
      </c>
      <c r="D10" s="62">
        <v>0.0</v>
      </c>
      <c r="E10" s="61" t="s">
        <v>127</v>
      </c>
      <c r="F10" s="6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55.0"/>
    <col customWidth="1" min="4" max="26" width="8.71"/>
  </cols>
  <sheetData>
    <row r="1" ht="36.0" customHeight="1">
      <c r="A1" s="41" t="s">
        <v>129</v>
      </c>
      <c r="B1" s="2"/>
      <c r="C1" s="2"/>
      <c r="D1" s="3"/>
    </row>
    <row r="3" ht="21.75" customHeight="1">
      <c r="A3" s="63" t="s">
        <v>130</v>
      </c>
      <c r="B3" s="64" t="s">
        <v>131</v>
      </c>
      <c r="C3" s="65" t="s">
        <v>132</v>
      </c>
    </row>
    <row r="4" ht="21.75" customHeight="1">
      <c r="A4" s="13" t="s">
        <v>133</v>
      </c>
      <c r="B4" s="66">
        <f>Assumptions!B10</f>
        <v>99</v>
      </c>
      <c r="C4" s="67" t="s">
        <v>134</v>
      </c>
    </row>
    <row r="5" ht="21.75" customHeight="1">
      <c r="A5" s="43" t="s">
        <v>135</v>
      </c>
      <c r="B5" s="68">
        <f>Assumptions!B12</f>
        <v>49</v>
      </c>
      <c r="C5" s="69" t="s">
        <v>136</v>
      </c>
    </row>
    <row r="6" ht="21.75" customHeight="1">
      <c r="A6" s="13" t="s">
        <v>137</v>
      </c>
      <c r="B6" s="66">
        <f>Assumptions!B19</f>
        <v>6</v>
      </c>
      <c r="C6" s="67" t="s">
        <v>138</v>
      </c>
    </row>
    <row r="7" ht="21.75" customHeight="1">
      <c r="A7" s="43" t="s">
        <v>139</v>
      </c>
      <c r="B7" s="70">
        <f>(Assumptions!B10-Assumptions!B19)/Assumptions!B10</f>
        <v>0.9393939394</v>
      </c>
      <c r="C7" s="69" t="s">
        <v>140</v>
      </c>
    </row>
    <row r="8" ht="21.75" customHeight="1">
      <c r="A8" s="13" t="s">
        <v>141</v>
      </c>
      <c r="B8" s="66">
        <f>Assumptions!B20</f>
        <v>15</v>
      </c>
      <c r="C8" s="67" t="s">
        <v>142</v>
      </c>
    </row>
    <row r="9" ht="21.75" customHeight="1">
      <c r="A9" s="43" t="s">
        <v>143</v>
      </c>
      <c r="B9" s="71">
        <v>2.5</v>
      </c>
      <c r="C9" s="69" t="s">
        <v>144</v>
      </c>
    </row>
    <row r="10" ht="21.75" customHeight="1">
      <c r="A10" s="13" t="s">
        <v>145</v>
      </c>
      <c r="B10" s="66">
        <f>Assumptions!B10*Assumptions!B23</f>
        <v>1782</v>
      </c>
      <c r="C10" s="67" t="s">
        <v>146</v>
      </c>
    </row>
    <row r="11" ht="21.75" customHeight="1">
      <c r="A11" s="43" t="s">
        <v>147</v>
      </c>
      <c r="B11" s="68">
        <f>Assumptions!B24/Assumptions!B20</f>
        <v>1</v>
      </c>
      <c r="C11" s="69" t="s">
        <v>148</v>
      </c>
    </row>
    <row r="12" ht="21.75" customHeight="1">
      <c r="A12" s="13" t="s">
        <v>149</v>
      </c>
      <c r="B12" s="66">
        <f>Assumptions!B20/(Assumptions!B10/12)</f>
        <v>1.818181818</v>
      </c>
      <c r="C12" s="67" t="s">
        <v>150</v>
      </c>
    </row>
    <row r="13" ht="21.75" customHeight="1">
      <c r="A13" s="43" t="s">
        <v>151</v>
      </c>
      <c r="B13" s="68" t="s">
        <v>152</v>
      </c>
      <c r="C13" s="69" t="s">
        <v>153</v>
      </c>
    </row>
    <row r="14" ht="21.75" customHeight="1">
      <c r="A14" s="13" t="s">
        <v>154</v>
      </c>
      <c r="B14" s="72">
        <f>4000/480000</f>
        <v>0.008333333333</v>
      </c>
      <c r="C14" s="67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6.0"/>
    <col customWidth="1" min="3" max="3" width="12.0"/>
    <col customWidth="1" min="4" max="4" width="55.0"/>
    <col customWidth="1" min="5" max="26" width="8.71"/>
  </cols>
  <sheetData>
    <row r="1" ht="36.0" customHeight="1">
      <c r="A1" s="41" t="s">
        <v>156</v>
      </c>
      <c r="B1" s="2"/>
      <c r="C1" s="2"/>
      <c r="D1" s="3"/>
    </row>
    <row r="2" ht="6.0" customHeight="1"/>
    <row r="3" ht="27.75" customHeight="1">
      <c r="A3" s="22" t="s">
        <v>157</v>
      </c>
      <c r="B3" s="22" t="s">
        <v>158</v>
      </c>
      <c r="C3" s="22" t="s">
        <v>159</v>
      </c>
      <c r="D3" s="22" t="s">
        <v>160</v>
      </c>
    </row>
    <row r="4" ht="21.75" customHeight="1">
      <c r="A4" s="73" t="s">
        <v>161</v>
      </c>
      <c r="B4" s="74">
        <v>3000.0</v>
      </c>
      <c r="C4" s="75">
        <f t="shared" ref="C4:C9" si="1">B4/15000</f>
        <v>0.2</v>
      </c>
      <c r="D4" s="76" t="s">
        <v>162</v>
      </c>
    </row>
    <row r="5" ht="21.75" customHeight="1">
      <c r="A5" s="77" t="s">
        <v>163</v>
      </c>
      <c r="B5" s="78">
        <v>2500.0</v>
      </c>
      <c r="C5" s="79">
        <f t="shared" si="1"/>
        <v>0.1666666667</v>
      </c>
      <c r="D5" s="80" t="s">
        <v>164</v>
      </c>
    </row>
    <row r="6" ht="21.75" customHeight="1">
      <c r="A6" s="73" t="s">
        <v>165</v>
      </c>
      <c r="B6" s="74">
        <v>3000.0</v>
      </c>
      <c r="C6" s="75">
        <f t="shared" si="1"/>
        <v>0.2</v>
      </c>
      <c r="D6" s="76" t="s">
        <v>166</v>
      </c>
    </row>
    <row r="7" ht="21.75" customHeight="1">
      <c r="A7" s="77" t="s">
        <v>167</v>
      </c>
      <c r="B7" s="78">
        <v>2000.0</v>
      </c>
      <c r="C7" s="79">
        <f t="shared" si="1"/>
        <v>0.1333333333</v>
      </c>
      <c r="D7" s="80" t="s">
        <v>168</v>
      </c>
    </row>
    <row r="8" ht="21.75" customHeight="1">
      <c r="A8" s="73" t="s">
        <v>169</v>
      </c>
      <c r="B8" s="74">
        <v>2500.0</v>
      </c>
      <c r="C8" s="75">
        <f t="shared" si="1"/>
        <v>0.1666666667</v>
      </c>
      <c r="D8" s="76" t="s">
        <v>170</v>
      </c>
    </row>
    <row r="9" ht="21.75" customHeight="1">
      <c r="A9" s="77" t="s">
        <v>171</v>
      </c>
      <c r="B9" s="78">
        <v>2000.0</v>
      </c>
      <c r="C9" s="79">
        <f t="shared" si="1"/>
        <v>0.1333333333</v>
      </c>
      <c r="D9" s="80" t="s">
        <v>172</v>
      </c>
    </row>
    <row r="10" ht="24.0" customHeight="1">
      <c r="A10" s="81" t="s">
        <v>173</v>
      </c>
      <c r="B10" s="82">
        <f>SUM(B4:B9)</f>
        <v>15000</v>
      </c>
      <c r="C10" s="83">
        <v>1.0</v>
      </c>
      <c r="D10" s="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2026-03-16T17:25:45Z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